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T:\UJConnect\docs\"/>
    </mc:Choice>
  </mc:AlternateContent>
  <xr:revisionPtr revIDLastSave="0" documentId="13_ncr:1_{DB88302A-1856-489F-9219-E64BFFF564C2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Bill of Materials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6" i="1" l="1"/>
  <c r="H13" i="1"/>
  <c r="H14" i="1"/>
  <c r="H8" i="1"/>
  <c r="H9" i="1"/>
  <c r="H12" i="1"/>
  <c r="H11" i="1"/>
  <c r="H10" i="1"/>
  <c r="H7" i="1"/>
  <c r="H6" i="1"/>
  <c r="H5" i="1"/>
  <c r="H17" i="1" l="1"/>
</calcChain>
</file>

<file path=xl/sharedStrings.xml><?xml version="1.0" encoding="utf-8"?>
<sst xmlns="http://schemas.openxmlformats.org/spreadsheetml/2006/main" count="84" uniqueCount="67">
  <si>
    <t>campusMate — Bill of Materials (Year 1 Operating Costs)</t>
  </si>
  <si>
    <t>Item / Service</t>
  </si>
  <si>
    <t>Category</t>
  </si>
  <si>
    <t>Supplier</t>
  </si>
  <si>
    <t>Plan / Stock Code</t>
  </si>
  <si>
    <t>Unit Cost (ZAR)</t>
  </si>
  <si>
    <t>Quantity</t>
  </si>
  <si>
    <t>Unit</t>
  </si>
  <si>
    <t>Total Cost (ZAR)</t>
  </si>
  <si>
    <t>Source / URL</t>
  </si>
  <si>
    <t>Infrastructure</t>
  </si>
  <si>
    <t>months</t>
  </si>
  <si>
    <t>Web / App Hosting</t>
  </si>
  <si>
    <t>Microsoft Azure</t>
  </si>
  <si>
    <t>App Service — Basic B1 (Linux)</t>
  </si>
  <si>
    <t>azure.microsoft.com/pricing/details/app-service</t>
  </si>
  <si>
    <t>Transactional Email (verification &amp; reset links)</t>
  </si>
  <si>
    <t>Twilio SendGrid</t>
  </si>
  <si>
    <t>Essentials (50,000 emails/mo)</t>
  </si>
  <si>
    <t>sendgrid.com/pricing</t>
  </si>
  <si>
    <t>Image &amp; Document Storage</t>
  </si>
  <si>
    <t>Blob Storage — Hot Tier, LRS</t>
  </si>
  <si>
    <t>azure.microsoft.com/pricing/details/storage/blobs</t>
  </si>
  <si>
    <t>SSL Certificate</t>
  </si>
  <si>
    <t>Free tier</t>
  </si>
  <si>
    <t>once</t>
  </si>
  <si>
    <t>—</t>
  </si>
  <si>
    <t>Included free via Azure App Service managed certificates.</t>
  </si>
  <si>
    <t>Domain Registration (.co.za)</t>
  </si>
  <si>
    <t>Legal &amp; Registration</t>
  </si>
  <si>
    <t>Afrihost</t>
  </si>
  <si>
    <t>Standard .co.za registration</t>
  </si>
  <si>
    <t>mybroadband.co.za (registrar price comparison)</t>
  </si>
  <si>
    <t>R197 first-year registration; R99/year on renewal from Year 2 onward.</t>
  </si>
  <si>
    <t>Business Registration (Pty Ltd)</t>
  </si>
  <si>
    <t>CIPC</t>
  </si>
  <si>
    <t>Private Company — standard MOI</t>
  </si>
  <si>
    <t>cipc.co.za</t>
  </si>
  <si>
    <t>Standard e-Services registration fee.</t>
  </si>
  <si>
    <t>Company Name Reservation</t>
  </si>
  <si>
    <t>Electronic name reservation</t>
  </si>
  <si>
    <t>Campus Launch &amp; Marketing</t>
  </si>
  <si>
    <t>Marketing</t>
  </si>
  <si>
    <t>Estimate for posters, a launch event, and initial social promotion at UJ. Discretionary spend, not a fixed vendor quote.</t>
  </si>
  <si>
    <t>Student Moderator / Administrator</t>
  </si>
  <si>
    <t>Labor</t>
  </si>
  <si>
    <t>Part-time student hire</t>
  </si>
  <si>
    <t>10 hrs/week</t>
  </si>
  <si>
    <t>hours</t>
  </si>
  <si>
    <t>labourguide.co.za (National Minimum Wage notice)</t>
  </si>
  <si>
    <t>R30.23/hr is the legal National Minimum Wage floor (effective 1 Mar 2026); R45/hr reflects a realistic part-time rate for a role requiring judgment (report review, verification, moderation). Assumes 10 hrs/week x 52 weeks.</t>
  </si>
  <si>
    <t>Most services are priced in USD figures and they are converted at 1 USD = R16.20 (13 Aug 2026, mid-market rate).</t>
  </si>
  <si>
    <t>Let's Encrypt</t>
  </si>
  <si>
    <t>letsencrypt.org/certificates/</t>
  </si>
  <si>
    <t>Optional but needed to secure the campusMate name.</t>
  </si>
  <si>
    <t>Covers account verification and password-reset emails.</t>
  </si>
  <si>
    <t>Assumes ~50GB Year-1 storage (product photos + tutor proof-of-mark documents)</t>
  </si>
  <si>
    <t>Third-party estimates for B1 Linux ranged $13-55/mo depending on OS and source</t>
  </si>
  <si>
    <t>Notes</t>
  </si>
  <si>
    <t>TOTAL ESTIMATED MONTHLY COSTS</t>
  </si>
  <si>
    <t>Various (prints, referral costs</t>
  </si>
  <si>
    <t>TOTAL ESTIMATED ONCE OFF COSTS</t>
  </si>
  <si>
    <t>Raspberry pi</t>
  </si>
  <si>
    <t>(Hardware) Infrastructure</t>
  </si>
  <si>
    <t>COMMUNICA Electronics</t>
  </si>
  <si>
    <t>https://www.communica.co.za/products/raspberry-pi-5b-8gb?variant=48701473980716&amp;sfdr_ptcid=31591_617_703365267&amp;sfdr_hash=6ae3baa44d2566514ab4895cab43a727&amp;utm_source=www.communica.co.za&amp;gad_source=1&amp;gad_campaignid=24042158071&amp;gbraid=0AAAAADLTnIaHDfYUxfjKqOBPUwcszsvNH&amp;gclid=Cj0KCQjwh4TVBhCWARIsAG0czmo9ZobSoXrddhBMC6kAy1PRiFD5e4js4bCJDJv26hXgXu3Zh9l6ok4aApwbEALw_wcB</t>
  </si>
  <si>
    <t>Used to host our database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</si>
</sst>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#,##0.00"/>
  </numFmts>
  <fonts count="11" x14ac:knownFonts="1">
    <font>
      <sz val="11"/>
      <color theme="1"/>
      <name val="Calibri"/>
      <family val="2"/>
      <charset val="1"/>
    </font>
    <font>
      <b/>
      <sz val="14"/>
      <color rgb="FF1B2A4A"/>
      <name val="Arial"/>
      <charset val="1"/>
    </font>
    <font>
      <i/>
      <sz val="9"/>
      <color rgb="FF6B6862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color rgb="FFE8871E"/>
      <name val="Arial"/>
      <charset val="1"/>
    </font>
    <font>
      <b/>
      <sz val="12"/>
      <color rgb="FFC1523D"/>
      <name val="Arial"/>
      <charset val="1"/>
    </font>
    <font>
      <b/>
      <sz val="13"/>
      <color rgb="FFFF0000"/>
      <name val="Arial"/>
      <charset val="1"/>
    </font>
    <font>
      <i/>
      <sz val="9"/>
      <color rgb="FF6B6862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DF3E3"/>
        <bgColor rgb="FFFFFFFF"/>
      </patternFill>
    </fill>
  </fills>
  <borders count="3">
    <border>
      <left/>
      <right/>
      <top/>
      <bottom/>
      <diagonal/>
    </border>
    <border>
      <left style="thin">
        <color rgb="FFD9D5CA"/>
      </left>
      <right style="thin">
        <color rgb="FFD9D5CA"/>
      </right>
      <top style="thin">
        <color rgb="FFD9D5CA"/>
      </top>
      <bottom style="thin">
        <color rgb="FFD9D5CA"/>
      </bottom>
      <diagonal/>
    </border>
    <border>
      <left/>
      <right/>
      <top style="double">
        <color rgb="FF1B2A4A"/>
      </top>
      <bottom style="double">
        <color rgb="FF1B2A4A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1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164" fontId="7" fillId="3" borderId="2" xfId="0" applyNumberFormat="1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164" fontId="4" fillId="0" borderId="1" xfId="0" applyNumberFormat="1" applyFont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10" fillId="0" borderId="0" xfId="1"/>
    <xf numFmtId="0" fontId="8" fillId="0" borderId="1" xfId="0" applyFont="1" applyBorder="1" applyAlignment="1">
      <alignment vertical="top" wrapText="1"/>
    </xf>
    <xf numFmtId="0" fontId="8" fillId="0" borderId="1" xfId="0" applyFont="1" applyBorder="1" applyAlignment="1">
      <alignment horizontal="fill" vertical="top" wrapText="1"/>
    </xf>
    <xf numFmtId="0" fontId="1" fillId="0" borderId="0" xfId="0" applyFont="1"/>
    <xf numFmtId="0" fontId="8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6" fillId="0" borderId="2" xfId="0" applyFont="1" applyBorder="1" applyAlignment="1">
      <alignment horizontal="righ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C1523D"/>
      <rgbColor rgb="FFFDF3E3"/>
      <rgbColor rgb="FFCCFFFF"/>
      <rgbColor rgb="FF660066"/>
      <rgbColor rgb="FFFF8080"/>
      <rgbColor rgb="FF0066CC"/>
      <rgbColor rgb="FFD9D5C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E8871E"/>
      <rgbColor rgb="FFFF6600"/>
      <rgbColor rgb="FF6B686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zoomScaleNormal="100" workbookViewId="0">
      <pane ySplit="4" topLeftCell="A5" activePane="bottomLeft" state="frozen"/>
      <selection pane="bottomLeft" activeCell="H16" sqref="H16"/>
    </sheetView>
  </sheetViews>
  <sheetFormatPr defaultColWidth="8.6640625" defaultRowHeight="14.4" x14ac:dyDescent="0.3"/>
  <cols>
    <col min="1" max="1" width="30" customWidth="1"/>
    <col min="2" max="2" width="16" customWidth="1"/>
    <col min="3" max="3" width="22" customWidth="1"/>
    <col min="4" max="4" width="26" customWidth="1"/>
    <col min="5" max="5" width="13" customWidth="1"/>
    <col min="6" max="6" width="10" customWidth="1"/>
    <col min="7" max="7" width="9" customWidth="1"/>
    <col min="8" max="8" width="15" customWidth="1"/>
    <col min="9" max="9" width="30.77734375" customWidth="1"/>
    <col min="10" max="10" width="67.88671875" customWidth="1"/>
  </cols>
  <sheetData>
    <row r="1" spans="1:10" ht="17.399999999999999" x14ac:dyDescent="0.3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27.75" customHeight="1" x14ac:dyDescent="0.3">
      <c r="A2" s="12" t="s">
        <v>51</v>
      </c>
      <c r="B2" s="13"/>
      <c r="C2" s="13"/>
      <c r="D2" s="13"/>
      <c r="E2" s="13"/>
      <c r="F2" s="13"/>
      <c r="G2" s="13"/>
      <c r="H2" s="13"/>
      <c r="I2" s="13"/>
      <c r="J2" s="13"/>
    </row>
    <row r="4" spans="1:10" ht="27.6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58</v>
      </c>
    </row>
    <row r="5" spans="1:10" ht="30" customHeight="1" x14ac:dyDescent="0.3">
      <c r="A5" s="4" t="s">
        <v>12</v>
      </c>
      <c r="B5" s="5" t="s">
        <v>10</v>
      </c>
      <c r="C5" s="4" t="s">
        <v>13</v>
      </c>
      <c r="D5" s="4" t="s">
        <v>14</v>
      </c>
      <c r="E5" s="6">
        <v>213</v>
      </c>
      <c r="F5" s="4">
        <v>1</v>
      </c>
      <c r="G5" s="4" t="s">
        <v>11</v>
      </c>
      <c r="H5" s="6">
        <f t="shared" ref="H5:H14" si="0">E5*F5</f>
        <v>213</v>
      </c>
      <c r="I5" s="2" t="s">
        <v>15</v>
      </c>
      <c r="J5" s="2" t="s">
        <v>57</v>
      </c>
    </row>
    <row r="6" spans="1:10" ht="30" customHeight="1" x14ac:dyDescent="0.3">
      <c r="A6" s="4" t="s">
        <v>16</v>
      </c>
      <c r="B6" s="5" t="s">
        <v>10</v>
      </c>
      <c r="C6" s="4" t="s">
        <v>17</v>
      </c>
      <c r="D6" s="4" t="s">
        <v>18</v>
      </c>
      <c r="E6" s="6">
        <v>323</v>
      </c>
      <c r="F6" s="4">
        <v>1</v>
      </c>
      <c r="G6" s="4" t="s">
        <v>11</v>
      </c>
      <c r="H6" s="6">
        <f t="shared" si="0"/>
        <v>323</v>
      </c>
      <c r="I6" s="2" t="s">
        <v>19</v>
      </c>
      <c r="J6" s="10" t="s">
        <v>55</v>
      </c>
    </row>
    <row r="7" spans="1:10" ht="30" customHeight="1" x14ac:dyDescent="0.3">
      <c r="A7" s="4" t="s">
        <v>20</v>
      </c>
      <c r="B7" s="5" t="s">
        <v>10</v>
      </c>
      <c r="C7" s="4" t="s">
        <v>13</v>
      </c>
      <c r="D7" s="4" t="s">
        <v>21</v>
      </c>
      <c r="E7" s="6">
        <v>15</v>
      </c>
      <c r="F7" s="4">
        <v>1</v>
      </c>
      <c r="G7" s="4" t="s">
        <v>11</v>
      </c>
      <c r="H7" s="6">
        <f t="shared" si="0"/>
        <v>15</v>
      </c>
      <c r="I7" s="2" t="s">
        <v>22</v>
      </c>
      <c r="J7" s="9" t="s">
        <v>56</v>
      </c>
    </row>
    <row r="8" spans="1:10" ht="30" customHeight="1" x14ac:dyDescent="0.3">
      <c r="A8" s="4" t="s">
        <v>44</v>
      </c>
      <c r="B8" s="5" t="s">
        <v>45</v>
      </c>
      <c r="C8" s="4" t="s">
        <v>46</v>
      </c>
      <c r="D8" s="4" t="s">
        <v>47</v>
      </c>
      <c r="E8" s="6">
        <v>45</v>
      </c>
      <c r="F8" s="4">
        <v>40</v>
      </c>
      <c r="G8" s="4" t="s">
        <v>48</v>
      </c>
      <c r="H8" s="6">
        <f t="shared" ref="H8" si="1">E8*F8</f>
        <v>1800</v>
      </c>
      <c r="I8" s="2" t="s">
        <v>49</v>
      </c>
      <c r="J8" s="9" t="s">
        <v>50</v>
      </c>
    </row>
    <row r="9" spans="1:10" ht="30" customHeight="1" x14ac:dyDescent="0.3">
      <c r="A9" s="4" t="s">
        <v>23</v>
      </c>
      <c r="B9" s="5" t="s">
        <v>10</v>
      </c>
      <c r="C9" s="7" t="s">
        <v>52</v>
      </c>
      <c r="D9" s="4" t="s">
        <v>24</v>
      </c>
      <c r="E9" s="6">
        <v>0</v>
      </c>
      <c r="F9" s="4">
        <v>1</v>
      </c>
      <c r="G9" s="4" t="s">
        <v>25</v>
      </c>
      <c r="H9" s="6">
        <f t="shared" si="0"/>
        <v>0</v>
      </c>
      <c r="I9" s="8" t="s">
        <v>53</v>
      </c>
      <c r="J9" s="2" t="s">
        <v>27</v>
      </c>
    </row>
    <row r="10" spans="1:10" ht="30" customHeight="1" x14ac:dyDescent="0.3">
      <c r="A10" s="4" t="s">
        <v>28</v>
      </c>
      <c r="B10" s="5" t="s">
        <v>29</v>
      </c>
      <c r="C10" s="4" t="s">
        <v>30</v>
      </c>
      <c r="D10" s="4" t="s">
        <v>31</v>
      </c>
      <c r="E10" s="6">
        <v>197</v>
      </c>
      <c r="F10" s="4">
        <v>1</v>
      </c>
      <c r="G10" s="4" t="s">
        <v>25</v>
      </c>
      <c r="H10" s="6">
        <f t="shared" si="0"/>
        <v>197</v>
      </c>
      <c r="I10" s="2" t="s">
        <v>32</v>
      </c>
      <c r="J10" s="2" t="s">
        <v>33</v>
      </c>
    </row>
    <row r="11" spans="1:10" ht="30" customHeight="1" x14ac:dyDescent="0.3">
      <c r="A11" s="4" t="s">
        <v>34</v>
      </c>
      <c r="B11" s="5" t="s">
        <v>29</v>
      </c>
      <c r="C11" s="4" t="s">
        <v>35</v>
      </c>
      <c r="D11" s="4" t="s">
        <v>36</v>
      </c>
      <c r="E11" s="6">
        <v>125</v>
      </c>
      <c r="F11" s="4">
        <v>1</v>
      </c>
      <c r="G11" s="4" t="s">
        <v>25</v>
      </c>
      <c r="H11" s="6">
        <f t="shared" si="0"/>
        <v>125</v>
      </c>
      <c r="I11" s="2" t="s">
        <v>37</v>
      </c>
      <c r="J11" s="2" t="s">
        <v>38</v>
      </c>
    </row>
    <row r="12" spans="1:10" ht="30" customHeight="1" x14ac:dyDescent="0.3">
      <c r="A12" s="4" t="s">
        <v>39</v>
      </c>
      <c r="B12" s="5" t="s">
        <v>29</v>
      </c>
      <c r="C12" s="4" t="s">
        <v>35</v>
      </c>
      <c r="D12" s="4" t="s">
        <v>40</v>
      </c>
      <c r="E12" s="6">
        <v>50</v>
      </c>
      <c r="F12" s="4">
        <v>1</v>
      </c>
      <c r="G12" s="4" t="s">
        <v>25</v>
      </c>
      <c r="H12" s="6">
        <f t="shared" si="0"/>
        <v>50</v>
      </c>
      <c r="I12" s="2" t="s">
        <v>37</v>
      </c>
      <c r="J12" s="9" t="s">
        <v>54</v>
      </c>
    </row>
    <row r="13" spans="1:10" ht="30" customHeight="1" x14ac:dyDescent="0.3">
      <c r="A13" s="4" t="s">
        <v>62</v>
      </c>
      <c r="B13" s="5" t="s">
        <v>63</v>
      </c>
      <c r="C13" s="4" t="s">
        <v>64</v>
      </c>
      <c r="D13" s="4" t="s">
        <v>26</v>
      </c>
      <c r="E13" s="6">
        <v>4620</v>
      </c>
      <c r="F13" s="4">
        <v>1</v>
      </c>
      <c r="G13" s="4" t="s">
        <v>25</v>
      </c>
      <c r="H13" s="6">
        <f t="shared" ref="H13" si="2">E13*F13</f>
        <v>4620</v>
      </c>
      <c r="I13" s="2" t="s">
        <v>65</v>
      </c>
      <c r="J13" s="9" t="s">
        <v>66</v>
      </c>
    </row>
    <row r="14" spans="1:10" ht="30" customHeight="1" x14ac:dyDescent="0.3">
      <c r="A14" s="4" t="s">
        <v>41</v>
      </c>
      <c r="B14" s="5" t="s">
        <v>42</v>
      </c>
      <c r="C14" s="4" t="s">
        <v>60</v>
      </c>
      <c r="D14" s="4" t="s">
        <v>26</v>
      </c>
      <c r="E14" s="6">
        <v>3000</v>
      </c>
      <c r="F14" s="4">
        <v>1</v>
      </c>
      <c r="G14" s="4" t="s">
        <v>25</v>
      </c>
      <c r="H14" s="6">
        <f t="shared" si="0"/>
        <v>3000</v>
      </c>
      <c r="I14" s="2" t="s">
        <v>26</v>
      </c>
      <c r="J14" s="2" t="s">
        <v>43</v>
      </c>
    </row>
    <row r="15" spans="1:10" ht="15" thickBot="1" x14ac:dyDescent="0.35"/>
    <row r="16" spans="1:10" ht="21.75" customHeight="1" thickTop="1" thickBot="1" x14ac:dyDescent="0.35">
      <c r="A16" s="14" t="s">
        <v>61</v>
      </c>
      <c r="B16" s="14"/>
      <c r="C16" s="14"/>
      <c r="D16" s="14"/>
      <c r="E16" s="14"/>
      <c r="F16" s="14"/>
      <c r="G16" s="14"/>
      <c r="H16" s="3">
        <f>SUM(H9:H15)</f>
        <v>7992</v>
      </c>
    </row>
    <row r="17" spans="1:8" ht="21.75" customHeight="1" thickTop="1" thickBot="1" x14ac:dyDescent="0.35">
      <c r="A17" s="14" t="s">
        <v>59</v>
      </c>
      <c r="B17" s="14"/>
      <c r="C17" s="14"/>
      <c r="D17" s="14"/>
      <c r="E17" s="14"/>
      <c r="F17" s="14"/>
      <c r="G17" s="14"/>
      <c r="H17" s="3">
        <f>SUM(H5:H8)</f>
        <v>2351</v>
      </c>
    </row>
  </sheetData>
  <mergeCells count="4">
    <mergeCell ref="A1:J1"/>
    <mergeCell ref="A2:J2"/>
    <mergeCell ref="A17:G17"/>
    <mergeCell ref="A16:G16"/>
  </mergeCells>
  <pageMargins left="0.75" right="0.75" top="1" bottom="1" header="0.511811023622047" footer="0.511811023622047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4FA6BFC0FF5741B9F1BE45DB69B7D7" ma:contentTypeVersion="5" ma:contentTypeDescription="Create a new document." ma:contentTypeScope="" ma:versionID="93e1fd3ae0baa36bc49bdb5342c0b57a">
  <xsd:schema xmlns:xsd="http://www.w3.org/2001/XMLSchema" xmlns:xs="http://www.w3.org/2001/XMLSchema" xmlns:p="http://schemas.microsoft.com/office/2006/metadata/properties" xmlns:ns3="59a2824a-5d27-4491-96f1-ce1949071267" targetNamespace="http://schemas.microsoft.com/office/2006/metadata/properties" ma:root="true" ma:fieldsID="770d92e61deed6308b40d0bc1cce0388" ns3:_="">
    <xsd:import namespace="59a2824a-5d27-4491-96f1-ce194907126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a2824a-5d27-4491-96f1-ce194907126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E0B786D-9029-422F-87D6-5F0491BD84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9a2824a-5d27-4491-96f1-ce19490712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BDAFE94-8959-41EA-9607-D603F185818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56F417-F145-4FD1-B001-1CB2146D83FC}">
  <ds:schemaRefs>
    <ds:schemaRef ds:uri="http://purl.org/dc/terms/"/>
    <ds:schemaRef ds:uri="59a2824a-5d27-4491-96f1-ce1949071267"/>
    <ds:schemaRef ds:uri="http://schemas.microsoft.com/office/2006/documentManagement/types"/>
    <ds:schemaRef ds:uri="http://purl.org/dc/elements/1.1/"/>
    <ds:schemaRef ds:uri="http://www.w3.org/XML/1998/namespace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FREDDY LEHLAKODISA SENAMELA</cp:lastModifiedBy>
  <cp:revision>0</cp:revision>
  <dcterms:created xsi:type="dcterms:W3CDTF">2026-08-13T01:01:40Z</dcterms:created>
  <dcterms:modified xsi:type="dcterms:W3CDTF">2026-09-09T20:55:16Z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0x010100CC4FA6BFC0FF5741B9F1BE45DB69B7D7</vt:lpwstr>
  </property>
</Properties>
</file>